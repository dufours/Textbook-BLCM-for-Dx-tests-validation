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montreal-my.sharepoint.com/personal/simon_dufour_umontreal_ca/Documents/Enseignement UdM/Cours/Dx test validation-Dufour/BLCM textbook for Dx test validation/Data/Example index vs ref/"/>
    </mc:Choice>
  </mc:AlternateContent>
  <xr:revisionPtr revIDLastSave="4" documentId="8_{7BBA9C66-DCE6-468C-8DEA-D2877E2DE379}" xr6:coauthVersionLast="47" xr6:coauthVersionMax="47" xr10:uidLastSave="{F644576C-C263-4579-95D7-8EA8C0C96FFA}"/>
  <bookViews>
    <workbookView xWindow="19095" yWindow="0" windowWidth="19410" windowHeight="15585" xr2:uid="{B63A11AC-77F2-4890-87D2-95B8FD5CE3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L6" i="1"/>
  <c r="L5" i="1"/>
  <c r="C8" i="1"/>
  <c r="C9" i="1"/>
  <c r="C10" i="1"/>
  <c r="D10" i="1" s="1"/>
  <c r="E4" i="1"/>
  <c r="E3" i="1"/>
  <c r="K5" i="1" l="1"/>
  <c r="E9" i="1"/>
  <c r="K7" i="1" s="1"/>
  <c r="E8" i="1"/>
  <c r="J7" i="1" s="1"/>
  <c r="K9" i="1" s="1"/>
  <c r="D4" i="1"/>
  <c r="D3" i="1" s="1"/>
  <c r="C4" i="1"/>
  <c r="C3" i="1"/>
  <c r="D5" i="1"/>
  <c r="C5" i="1"/>
  <c r="J6" i="1" l="1"/>
  <c r="K6" i="1"/>
  <c r="K10" i="1" s="1"/>
</calcChain>
</file>

<file path=xl/sharedStrings.xml><?xml version="1.0" encoding="utf-8"?>
<sst xmlns="http://schemas.openxmlformats.org/spreadsheetml/2006/main" count="23" uniqueCount="16">
  <si>
    <t>D+</t>
  </si>
  <si>
    <t>D-</t>
  </si>
  <si>
    <t>T+</t>
  </si>
  <si>
    <t>T-</t>
  </si>
  <si>
    <t>A</t>
  </si>
  <si>
    <t>B</t>
  </si>
  <si>
    <t>Ta+</t>
  </si>
  <si>
    <t>Ta-</t>
  </si>
  <si>
    <t>Se</t>
  </si>
  <si>
    <t>Sp</t>
  </si>
  <si>
    <t>P</t>
  </si>
  <si>
    <t>REF+</t>
  </si>
  <si>
    <t>REF-</t>
  </si>
  <si>
    <t>% same false-pos</t>
  </si>
  <si>
    <t>App. Se</t>
  </si>
  <si>
    <t>App.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</si>
</sst>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DAE3-D98D-4F7B-9580-2CCC0C335FE6}">
  <dimension ref="A1:L13"/>
  <sheetViews>
    <sheetView tabSelected="1" workbookViewId="0">
      <selection activeCell="D8" sqref="D8"/>
    </sheetView>
  </sheetViews>
  <sheetFormatPr baseColWidth="10" defaultRowHeight="15" x14ac:dyDescent="0.25"/>
  <cols>
    <col min="6" max="6" width="16" customWidth="1"/>
  </cols>
  <sheetData>
    <row r="1" spans="1:12" x14ac:dyDescent="0.25">
      <c r="A1" t="s">
        <v>4</v>
      </c>
    </row>
    <row r="2" spans="1:12" x14ac:dyDescent="0.25">
      <c r="B2" s="1"/>
      <c r="C2" s="1" t="s">
        <v>0</v>
      </c>
      <c r="D2" s="1" t="s">
        <v>1</v>
      </c>
      <c r="E2" s="1"/>
    </row>
    <row r="3" spans="1:12" x14ac:dyDescent="0.25">
      <c r="B3" s="1" t="s">
        <v>2</v>
      </c>
      <c r="C3" s="1">
        <f>G4*C5</f>
        <v>49</v>
      </c>
      <c r="D3" s="1">
        <f>D5-D4</f>
        <v>38</v>
      </c>
      <c r="E3" s="1">
        <f>D3+C3</f>
        <v>87</v>
      </c>
      <c r="F3" t="s">
        <v>10</v>
      </c>
      <c r="G3">
        <v>0.05</v>
      </c>
    </row>
    <row r="4" spans="1:12" x14ac:dyDescent="0.25">
      <c r="B4" s="1" t="s">
        <v>3</v>
      </c>
      <c r="C4" s="1">
        <f>C5-C3</f>
        <v>1</v>
      </c>
      <c r="D4" s="1">
        <f>G5*D5</f>
        <v>912</v>
      </c>
      <c r="E4" s="1">
        <f>D4+C4</f>
        <v>913</v>
      </c>
      <c r="F4" t="s">
        <v>8</v>
      </c>
      <c r="G4">
        <v>0.98</v>
      </c>
      <c r="I4" s="1"/>
      <c r="J4" s="1" t="s">
        <v>11</v>
      </c>
      <c r="K4" s="1" t="s">
        <v>12</v>
      </c>
      <c r="L4" s="1"/>
    </row>
    <row r="5" spans="1:12" x14ac:dyDescent="0.25">
      <c r="B5" s="1"/>
      <c r="C5" s="1">
        <f>G3*E5</f>
        <v>50</v>
      </c>
      <c r="D5" s="1">
        <f>E5-C5</f>
        <v>950</v>
      </c>
      <c r="E5" s="1">
        <v>1000</v>
      </c>
      <c r="F5" t="s">
        <v>9</v>
      </c>
      <c r="G5">
        <v>0.96</v>
      </c>
      <c r="I5" s="1" t="s">
        <v>6</v>
      </c>
      <c r="J5" s="3">
        <f>(1-G13)*D3+C3</f>
        <v>68</v>
      </c>
      <c r="K5" s="3">
        <f>L5-J5</f>
        <v>19</v>
      </c>
      <c r="L5" s="1">
        <f>E3</f>
        <v>87</v>
      </c>
    </row>
    <row r="6" spans="1:12" x14ac:dyDescent="0.25">
      <c r="I6" s="1" t="s">
        <v>7</v>
      </c>
      <c r="J6" s="3">
        <f>J7-J5</f>
        <v>30</v>
      </c>
      <c r="K6" s="3">
        <f>K7-K5</f>
        <v>883</v>
      </c>
      <c r="L6" s="1">
        <f>E4</f>
        <v>913</v>
      </c>
    </row>
    <row r="7" spans="1:12" x14ac:dyDescent="0.25">
      <c r="A7" t="s">
        <v>5</v>
      </c>
      <c r="B7" s="1"/>
      <c r="C7" s="1" t="s">
        <v>0</v>
      </c>
      <c r="D7" s="1" t="s">
        <v>1</v>
      </c>
      <c r="E7" s="1"/>
      <c r="I7" s="1"/>
      <c r="J7" s="1">
        <f>E8</f>
        <v>98</v>
      </c>
      <c r="K7" s="1">
        <f>E9</f>
        <v>902</v>
      </c>
      <c r="L7" s="1">
        <v>1000</v>
      </c>
    </row>
    <row r="8" spans="1:12" x14ac:dyDescent="0.25">
      <c r="B8" s="1" t="s">
        <v>2</v>
      </c>
      <c r="C8" s="1">
        <f>G9*C10</f>
        <v>50</v>
      </c>
      <c r="D8" s="1">
        <v>48</v>
      </c>
      <c r="E8" s="1">
        <f>D8+C8</f>
        <v>98</v>
      </c>
      <c r="F8" t="s">
        <v>10</v>
      </c>
      <c r="G8">
        <v>0.05</v>
      </c>
    </row>
    <row r="9" spans="1:12" x14ac:dyDescent="0.25">
      <c r="B9" s="1" t="s">
        <v>3</v>
      </c>
      <c r="C9" s="1">
        <f>C10-C8</f>
        <v>0</v>
      </c>
      <c r="D9" s="1">
        <v>902</v>
      </c>
      <c r="E9" s="1">
        <f>D9+C9</f>
        <v>902</v>
      </c>
      <c r="F9" t="s">
        <v>8</v>
      </c>
      <c r="G9">
        <v>1</v>
      </c>
      <c r="J9" t="s">
        <v>14</v>
      </c>
      <c r="K9" s="2">
        <f>J5/J7</f>
        <v>0.69387755102040816</v>
      </c>
    </row>
    <row r="10" spans="1:12" x14ac:dyDescent="0.25">
      <c r="B10" s="1"/>
      <c r="C10" s="1">
        <f>G8*E10</f>
        <v>50</v>
      </c>
      <c r="D10" s="1">
        <f>E10-C10</f>
        <v>950</v>
      </c>
      <c r="E10" s="1">
        <v>1000</v>
      </c>
      <c r="F10" t="s">
        <v>9</v>
      </c>
      <c r="G10">
        <v>0.95</v>
      </c>
      <c r="J10" t="s">
        <v>15</v>
      </c>
      <c r="K10" s="2">
        <f>K6/K7</f>
        <v>0.97893569844789352</v>
      </c>
    </row>
    <row r="13" spans="1:12" x14ac:dyDescent="0.25">
      <c r="F13" t="s">
        <v>13</v>
      </c>
      <c r="G1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Dufour</dc:creator>
  <cp:lastModifiedBy>Simon Dufour</cp:lastModifiedBy>
  <dcterms:created xsi:type="dcterms:W3CDTF">2026-04-09T19:37:48Z</dcterms:created>
  <dcterms:modified xsi:type="dcterms:W3CDTF">2026-04-09T20:45:55Z</dcterms:modified>
</cp:coreProperties>
</file>